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  <sheet xmlns:r="http://schemas.openxmlformats.org/officeDocument/2006/relationships" name="Conditions" sheetId="2" state="visible" r:id="rId2"/>
    <sheet xmlns:r="http://schemas.openxmlformats.org/officeDocument/2006/relationships" name="Guide" sheetId="3" state="visible" r:id="rId3"/>
  </sheets>
  <definedNames>
    <definedName name="_xlnm._FilterDatabase" localSheetId="0" hidden="1">'Devices'!$A$1:$K$61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7">
    <font>
      <name val="Calibri"/>
      <family val="2"/>
      <color theme="1"/>
      <sz val="11"/>
      <scheme val="minor"/>
    </font>
    <font>
      <name val="Arial"/>
    </font>
    <font>
      <name val="Arial"/>
      <color rgb="000000FF"/>
    </font>
    <font>
      <name val="Arial"/>
      <color rgb="00000000"/>
    </font>
    <font>
      <name val="Arial"/>
      <b val="1"/>
      <color rgb="00FFFFFF"/>
      <sz val="11"/>
    </font>
    <font>
      <name val="Arial"/>
      <b val="1"/>
      <color rgb="001F3864"/>
      <sz val="16"/>
    </font>
    <font>
      <name val="Arial"/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164" fontId="2" fillId="0" borderId="1" pivotButton="0" quotePrefix="0" xfId="0"/>
    <xf numFmtId="2" fontId="1" fillId="0" borderId="1" pivotButton="0" quotePrefix="0" xfId="0"/>
    <xf numFmtId="164" fontId="3" fillId="0" borderId="1" pivotButton="0" quotePrefix="0" xfId="0"/>
    <xf numFmtId="2" fontId="2" fillId="0" borderId="1" pivotButton="0" quotePrefix="0" xfId="0"/>
    <xf numFmtId="0" fontId="1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0" customWidth="1" min="4" max="4"/>
    <col width="13" customWidth="1" min="5" max="5"/>
    <col width="16" customWidth="1" min="6" max="6"/>
    <col width="12" customWidth="1" min="7" max="7"/>
    <col width="16" customWidth="1" min="8" max="8"/>
    <col width="15" customWidth="1" min="9" max="9"/>
    <col width="9" customWidth="1" min="10" max="10"/>
    <col width="14" customWidth="1" min="11" max="11"/>
  </cols>
  <sheetData>
    <row r="1" ht="24" customHeight="1">
      <c r="A1" s="1" t="inlineStr">
        <is>
          <t>device_id</t>
        </is>
      </c>
      <c r="B1" s="1" t="inlineStr">
        <is>
          <t>manufacturer</t>
        </is>
      </c>
      <c r="C1" s="1" t="inlineStr">
        <is>
          <t>model_name</t>
        </is>
      </c>
      <c r="D1" s="1" t="inlineStr">
        <is>
          <t>storage</t>
        </is>
      </c>
      <c r="E1" s="1" t="inlineStr">
        <is>
          <t>release_year</t>
        </is>
      </c>
      <c r="F1" s="1" t="inlineStr">
        <is>
          <t>base_price_eur</t>
        </is>
      </c>
      <c r="G1" s="1" t="inlineStr">
        <is>
          <t>condition</t>
        </is>
      </c>
      <c r="H1" s="1" t="inlineStr">
        <is>
          <t>price_multiplier</t>
        </is>
      </c>
      <c r="I1" s="1" t="inlineStr">
        <is>
          <t>final_price_eur</t>
        </is>
      </c>
      <c r="J1" s="1" t="inlineStr">
        <is>
          <t>active</t>
        </is>
      </c>
      <c r="K1" s="1" t="inlineStr">
        <is>
          <t>last_updated</t>
        </is>
      </c>
    </row>
    <row r="2">
      <c r="A2" s="2" t="inlineStr">
        <is>
          <t>APL-IP15P-128</t>
        </is>
      </c>
      <c r="B2" s="2" t="inlineStr">
        <is>
          <t>Apple</t>
        </is>
      </c>
      <c r="C2" s="2" t="inlineStr">
        <is>
          <t>iPhone 15 Pro</t>
        </is>
      </c>
      <c r="D2" s="2" t="inlineStr">
        <is>
          <t>128GB</t>
        </is>
      </c>
      <c r="E2" s="3" t="n">
        <v>2023</v>
      </c>
      <c r="F2" s="4" t="n">
        <v>520</v>
      </c>
      <c r="G2" s="2" t="inlineStr">
        <is>
          <t>Like New</t>
        </is>
      </c>
      <c r="H2" s="5" t="n">
        <v>1</v>
      </c>
      <c r="I2" s="6">
        <f>ROUND(F2*H2,0)</f>
        <v/>
      </c>
      <c r="J2" s="3" t="inlineStr">
        <is>
          <t>TRUE</t>
        </is>
      </c>
      <c r="K2" s="2" t="inlineStr">
        <is>
          <t>2026-09-17</t>
        </is>
      </c>
    </row>
    <row r="3">
      <c r="A3" s="2" t="inlineStr">
        <is>
          <t>APL-IP15P-128</t>
        </is>
      </c>
      <c r="B3" s="2" t="inlineStr">
        <is>
          <t>Apple</t>
        </is>
      </c>
      <c r="C3" s="2" t="inlineStr">
        <is>
          <t>iPhone 15 Pro</t>
        </is>
      </c>
      <c r="D3" s="2" t="inlineStr">
        <is>
          <t>128GB</t>
        </is>
      </c>
      <c r="E3" s="3" t="n">
        <v>2023</v>
      </c>
      <c r="F3" s="4" t="n">
        <v>520</v>
      </c>
      <c r="G3" s="2" t="inlineStr">
        <is>
          <t>Intact</t>
        </is>
      </c>
      <c r="H3" s="5" t="n">
        <v>0.85</v>
      </c>
      <c r="I3" s="6">
        <f>ROUND(F3*H3,0)</f>
        <v/>
      </c>
      <c r="J3" s="3" t="inlineStr">
        <is>
          <t>TRUE</t>
        </is>
      </c>
      <c r="K3" s="2" t="inlineStr">
        <is>
          <t>2026-09-17</t>
        </is>
      </c>
    </row>
    <row r="4">
      <c r="A4" s="2" t="inlineStr">
        <is>
          <t>APL-IP15P-128</t>
        </is>
      </c>
      <c r="B4" s="2" t="inlineStr">
        <is>
          <t>Apple</t>
        </is>
      </c>
      <c r="C4" s="2" t="inlineStr">
        <is>
          <t>iPhone 15 Pro</t>
        </is>
      </c>
      <c r="D4" s="2" t="inlineStr">
        <is>
          <t>128GB</t>
        </is>
      </c>
      <c r="E4" s="3" t="n">
        <v>2023</v>
      </c>
      <c r="F4" s="4" t="n">
        <v>520</v>
      </c>
      <c r="G4" s="2" t="inlineStr">
        <is>
          <t>Cracked</t>
        </is>
      </c>
      <c r="H4" s="5" t="n">
        <v>0.6</v>
      </c>
      <c r="I4" s="6">
        <f>ROUND(F4*H4,0)</f>
        <v/>
      </c>
      <c r="J4" s="3" t="inlineStr">
        <is>
          <t>TRUE</t>
        </is>
      </c>
      <c r="K4" s="2" t="inlineStr">
        <is>
          <t>2026-09-17</t>
        </is>
      </c>
    </row>
    <row r="5">
      <c r="A5" s="2" t="inlineStr">
        <is>
          <t>APL-IP15P-128</t>
        </is>
      </c>
      <c r="B5" s="2" t="inlineStr">
        <is>
          <t>Apple</t>
        </is>
      </c>
      <c r="C5" s="2" t="inlineStr">
        <is>
          <t>iPhone 15 Pro</t>
        </is>
      </c>
      <c r="D5" s="2" t="inlineStr">
        <is>
          <t>128GB</t>
        </is>
      </c>
      <c r="E5" s="3" t="n">
        <v>2023</v>
      </c>
      <c r="F5" s="4" t="n">
        <v>520</v>
      </c>
      <c r="G5" s="2" t="inlineStr">
        <is>
          <t>Faulty</t>
        </is>
      </c>
      <c r="H5" s="5" t="n">
        <v>0.2</v>
      </c>
      <c r="I5" s="6">
        <f>ROUND(F5*H5,0)</f>
        <v/>
      </c>
      <c r="J5" s="3" t="inlineStr">
        <is>
          <t>TRUE</t>
        </is>
      </c>
      <c r="K5" s="2" t="inlineStr">
        <is>
          <t>2026-09-17</t>
        </is>
      </c>
    </row>
    <row r="6">
      <c r="A6" s="2" t="inlineStr">
        <is>
          <t>APL-IP15P-256</t>
        </is>
      </c>
      <c r="B6" s="2" t="inlineStr">
        <is>
          <t>Apple</t>
        </is>
      </c>
      <c r="C6" s="2" t="inlineStr">
        <is>
          <t>iPhone 15 Pro</t>
        </is>
      </c>
      <c r="D6" s="2" t="inlineStr">
        <is>
          <t>256GB</t>
        </is>
      </c>
      <c r="E6" s="3" t="n">
        <v>2023</v>
      </c>
      <c r="F6" s="4" t="n">
        <v>590</v>
      </c>
      <c r="G6" s="2" t="inlineStr">
        <is>
          <t>Like New</t>
        </is>
      </c>
      <c r="H6" s="5" t="n">
        <v>1</v>
      </c>
      <c r="I6" s="6">
        <f>ROUND(F6*H6,0)</f>
        <v/>
      </c>
      <c r="J6" s="3" t="inlineStr">
        <is>
          <t>TRUE</t>
        </is>
      </c>
      <c r="K6" s="2" t="inlineStr">
        <is>
          <t>2026-09-17</t>
        </is>
      </c>
    </row>
    <row r="7">
      <c r="A7" s="2" t="inlineStr">
        <is>
          <t>APL-IP15P-256</t>
        </is>
      </c>
      <c r="B7" s="2" t="inlineStr">
        <is>
          <t>Apple</t>
        </is>
      </c>
      <c r="C7" s="2" t="inlineStr">
        <is>
          <t>iPhone 15 Pro</t>
        </is>
      </c>
      <c r="D7" s="2" t="inlineStr">
        <is>
          <t>256GB</t>
        </is>
      </c>
      <c r="E7" s="3" t="n">
        <v>2023</v>
      </c>
      <c r="F7" s="4" t="n">
        <v>590</v>
      </c>
      <c r="G7" s="2" t="inlineStr">
        <is>
          <t>Intact</t>
        </is>
      </c>
      <c r="H7" s="5" t="n">
        <v>0.85</v>
      </c>
      <c r="I7" s="6">
        <f>ROUND(F7*H7,0)</f>
        <v/>
      </c>
      <c r="J7" s="3" t="inlineStr">
        <is>
          <t>TRUE</t>
        </is>
      </c>
      <c r="K7" s="2" t="inlineStr">
        <is>
          <t>2026-09-17</t>
        </is>
      </c>
    </row>
    <row r="8">
      <c r="A8" s="2" t="inlineStr">
        <is>
          <t>APL-IP15P-256</t>
        </is>
      </c>
      <c r="B8" s="2" t="inlineStr">
        <is>
          <t>Apple</t>
        </is>
      </c>
      <c r="C8" s="2" t="inlineStr">
        <is>
          <t>iPhone 15 Pro</t>
        </is>
      </c>
      <c r="D8" s="2" t="inlineStr">
        <is>
          <t>256GB</t>
        </is>
      </c>
      <c r="E8" s="3" t="n">
        <v>2023</v>
      </c>
      <c r="F8" s="4" t="n">
        <v>590</v>
      </c>
      <c r="G8" s="2" t="inlineStr">
        <is>
          <t>Cracked</t>
        </is>
      </c>
      <c r="H8" s="5" t="n">
        <v>0.6</v>
      </c>
      <c r="I8" s="6">
        <f>ROUND(F8*H8,0)</f>
        <v/>
      </c>
      <c r="J8" s="3" t="inlineStr">
        <is>
          <t>TRUE</t>
        </is>
      </c>
      <c r="K8" s="2" t="inlineStr">
        <is>
          <t>2026-09-17</t>
        </is>
      </c>
    </row>
    <row r="9">
      <c r="A9" s="2" t="inlineStr">
        <is>
          <t>APL-IP15P-256</t>
        </is>
      </c>
      <c r="B9" s="2" t="inlineStr">
        <is>
          <t>Apple</t>
        </is>
      </c>
      <c r="C9" s="2" t="inlineStr">
        <is>
          <t>iPhone 15 Pro</t>
        </is>
      </c>
      <c r="D9" s="2" t="inlineStr">
        <is>
          <t>256GB</t>
        </is>
      </c>
      <c r="E9" s="3" t="n">
        <v>2023</v>
      </c>
      <c r="F9" s="4" t="n">
        <v>590</v>
      </c>
      <c r="G9" s="2" t="inlineStr">
        <is>
          <t>Faulty</t>
        </is>
      </c>
      <c r="H9" s="5" t="n">
        <v>0.2</v>
      </c>
      <c r="I9" s="6">
        <f>ROUND(F9*H9,0)</f>
        <v/>
      </c>
      <c r="J9" s="3" t="inlineStr">
        <is>
          <t>TRUE</t>
        </is>
      </c>
      <c r="K9" s="2" t="inlineStr">
        <is>
          <t>2026-09-17</t>
        </is>
      </c>
    </row>
    <row r="10">
      <c r="A10" s="2" t="inlineStr">
        <is>
          <t>APL-IP14P-128</t>
        </is>
      </c>
      <c r="B10" s="2" t="inlineStr">
        <is>
          <t>Apple</t>
        </is>
      </c>
      <c r="C10" s="2" t="inlineStr">
        <is>
          <t>iPhone 14 Pro</t>
        </is>
      </c>
      <c r="D10" s="2" t="inlineStr">
        <is>
          <t>128GB</t>
        </is>
      </c>
      <c r="E10" s="3" t="n">
        <v>2022</v>
      </c>
      <c r="F10" s="4" t="n">
        <v>400</v>
      </c>
      <c r="G10" s="2" t="inlineStr">
        <is>
          <t>Like New</t>
        </is>
      </c>
      <c r="H10" s="5" t="n">
        <v>1</v>
      </c>
      <c r="I10" s="6">
        <f>ROUND(F10*H10,0)</f>
        <v/>
      </c>
      <c r="J10" s="3" t="inlineStr">
        <is>
          <t>TRUE</t>
        </is>
      </c>
      <c r="K10" s="2" t="inlineStr">
        <is>
          <t>2026-09-17</t>
        </is>
      </c>
    </row>
    <row r="11">
      <c r="A11" s="2" t="inlineStr">
        <is>
          <t>APL-IP14P-128</t>
        </is>
      </c>
      <c r="B11" s="2" t="inlineStr">
        <is>
          <t>Apple</t>
        </is>
      </c>
      <c r="C11" s="2" t="inlineStr">
        <is>
          <t>iPhone 14 Pro</t>
        </is>
      </c>
      <c r="D11" s="2" t="inlineStr">
        <is>
          <t>128GB</t>
        </is>
      </c>
      <c r="E11" s="3" t="n">
        <v>2022</v>
      </c>
      <c r="F11" s="4" t="n">
        <v>400</v>
      </c>
      <c r="G11" s="2" t="inlineStr">
        <is>
          <t>Intact</t>
        </is>
      </c>
      <c r="H11" s="5" t="n">
        <v>0.85</v>
      </c>
      <c r="I11" s="6">
        <f>ROUND(F11*H11,0)</f>
        <v/>
      </c>
      <c r="J11" s="3" t="inlineStr">
        <is>
          <t>TRUE</t>
        </is>
      </c>
      <c r="K11" s="2" t="inlineStr">
        <is>
          <t>2026-09-17</t>
        </is>
      </c>
    </row>
    <row r="12">
      <c r="A12" s="2" t="inlineStr">
        <is>
          <t>APL-IP14P-128</t>
        </is>
      </c>
      <c r="B12" s="2" t="inlineStr">
        <is>
          <t>Apple</t>
        </is>
      </c>
      <c r="C12" s="2" t="inlineStr">
        <is>
          <t>iPhone 14 Pro</t>
        </is>
      </c>
      <c r="D12" s="2" t="inlineStr">
        <is>
          <t>128GB</t>
        </is>
      </c>
      <c r="E12" s="3" t="n">
        <v>2022</v>
      </c>
      <c r="F12" s="4" t="n">
        <v>400</v>
      </c>
      <c r="G12" s="2" t="inlineStr">
        <is>
          <t>Cracked</t>
        </is>
      </c>
      <c r="H12" s="5" t="n">
        <v>0.6</v>
      </c>
      <c r="I12" s="6">
        <f>ROUND(F12*H12,0)</f>
        <v/>
      </c>
      <c r="J12" s="3" t="inlineStr">
        <is>
          <t>TRUE</t>
        </is>
      </c>
      <c r="K12" s="2" t="inlineStr">
        <is>
          <t>2026-09-17</t>
        </is>
      </c>
    </row>
    <row r="13">
      <c r="A13" s="2" t="inlineStr">
        <is>
          <t>APL-IP14P-128</t>
        </is>
      </c>
      <c r="B13" s="2" t="inlineStr">
        <is>
          <t>Apple</t>
        </is>
      </c>
      <c r="C13" s="2" t="inlineStr">
        <is>
          <t>iPhone 14 Pro</t>
        </is>
      </c>
      <c r="D13" s="2" t="inlineStr">
        <is>
          <t>128GB</t>
        </is>
      </c>
      <c r="E13" s="3" t="n">
        <v>2022</v>
      </c>
      <c r="F13" s="4" t="n">
        <v>400</v>
      </c>
      <c r="G13" s="2" t="inlineStr">
        <is>
          <t>Faulty</t>
        </is>
      </c>
      <c r="H13" s="5" t="n">
        <v>0.2</v>
      </c>
      <c r="I13" s="6">
        <f>ROUND(F13*H13,0)</f>
        <v/>
      </c>
      <c r="J13" s="3" t="inlineStr">
        <is>
          <t>TRUE</t>
        </is>
      </c>
      <c r="K13" s="2" t="inlineStr">
        <is>
          <t>2026-09-17</t>
        </is>
      </c>
    </row>
    <row r="14">
      <c r="A14" s="2" t="inlineStr">
        <is>
          <t>APL-IP14-256</t>
        </is>
      </c>
      <c r="B14" s="2" t="inlineStr">
        <is>
          <t>Apple</t>
        </is>
      </c>
      <c r="C14" s="2" t="inlineStr">
        <is>
          <t>iPhone 14</t>
        </is>
      </c>
      <c r="D14" s="2" t="inlineStr">
        <is>
          <t>256GB</t>
        </is>
      </c>
      <c r="E14" s="3" t="n">
        <v>2022</v>
      </c>
      <c r="F14" s="4" t="n">
        <v>330</v>
      </c>
      <c r="G14" s="2" t="inlineStr">
        <is>
          <t>Like New</t>
        </is>
      </c>
      <c r="H14" s="5" t="n">
        <v>1</v>
      </c>
      <c r="I14" s="6">
        <f>ROUND(F14*H14,0)</f>
        <v/>
      </c>
      <c r="J14" s="3" t="inlineStr">
        <is>
          <t>TRUE</t>
        </is>
      </c>
      <c r="K14" s="2" t="inlineStr">
        <is>
          <t>2026-09-17</t>
        </is>
      </c>
    </row>
    <row r="15">
      <c r="A15" s="2" t="inlineStr">
        <is>
          <t>APL-IP14-256</t>
        </is>
      </c>
      <c r="B15" s="2" t="inlineStr">
        <is>
          <t>Apple</t>
        </is>
      </c>
      <c r="C15" s="2" t="inlineStr">
        <is>
          <t>iPhone 14</t>
        </is>
      </c>
      <c r="D15" s="2" t="inlineStr">
        <is>
          <t>256GB</t>
        </is>
      </c>
      <c r="E15" s="3" t="n">
        <v>2022</v>
      </c>
      <c r="F15" s="4" t="n">
        <v>330</v>
      </c>
      <c r="G15" s="2" t="inlineStr">
        <is>
          <t>Intact</t>
        </is>
      </c>
      <c r="H15" s="5" t="n">
        <v>0.85</v>
      </c>
      <c r="I15" s="6">
        <f>ROUND(F15*H15,0)</f>
        <v/>
      </c>
      <c r="J15" s="3" t="inlineStr">
        <is>
          <t>TRUE</t>
        </is>
      </c>
      <c r="K15" s="2" t="inlineStr">
        <is>
          <t>2026-09-17</t>
        </is>
      </c>
    </row>
    <row r="16">
      <c r="A16" s="2" t="inlineStr">
        <is>
          <t>APL-IP14-256</t>
        </is>
      </c>
      <c r="B16" s="2" t="inlineStr">
        <is>
          <t>Apple</t>
        </is>
      </c>
      <c r="C16" s="2" t="inlineStr">
        <is>
          <t>iPhone 14</t>
        </is>
      </c>
      <c r="D16" s="2" t="inlineStr">
        <is>
          <t>256GB</t>
        </is>
      </c>
      <c r="E16" s="3" t="n">
        <v>2022</v>
      </c>
      <c r="F16" s="4" t="n">
        <v>330</v>
      </c>
      <c r="G16" s="2" t="inlineStr">
        <is>
          <t>Cracked</t>
        </is>
      </c>
      <c r="H16" s="5" t="n">
        <v>0.6</v>
      </c>
      <c r="I16" s="6">
        <f>ROUND(F16*H16,0)</f>
        <v/>
      </c>
      <c r="J16" s="3" t="inlineStr">
        <is>
          <t>TRUE</t>
        </is>
      </c>
      <c r="K16" s="2" t="inlineStr">
        <is>
          <t>2026-09-17</t>
        </is>
      </c>
    </row>
    <row r="17">
      <c r="A17" s="2" t="inlineStr">
        <is>
          <t>APL-IP14-256</t>
        </is>
      </c>
      <c r="B17" s="2" t="inlineStr">
        <is>
          <t>Apple</t>
        </is>
      </c>
      <c r="C17" s="2" t="inlineStr">
        <is>
          <t>iPhone 14</t>
        </is>
      </c>
      <c r="D17" s="2" t="inlineStr">
        <is>
          <t>256GB</t>
        </is>
      </c>
      <c r="E17" s="3" t="n">
        <v>2022</v>
      </c>
      <c r="F17" s="4" t="n">
        <v>330</v>
      </c>
      <c r="G17" s="2" t="inlineStr">
        <is>
          <t>Faulty</t>
        </is>
      </c>
      <c r="H17" s="5" t="n">
        <v>0.2</v>
      </c>
      <c r="I17" s="6">
        <f>ROUND(F17*H17,0)</f>
        <v/>
      </c>
      <c r="J17" s="3" t="inlineStr">
        <is>
          <t>TRUE</t>
        </is>
      </c>
      <c r="K17" s="2" t="inlineStr">
        <is>
          <t>2026-09-17</t>
        </is>
      </c>
    </row>
    <row r="18">
      <c r="A18" s="2" t="inlineStr">
        <is>
          <t>APL-IP13-128</t>
        </is>
      </c>
      <c r="B18" s="2" t="inlineStr">
        <is>
          <t>Apple</t>
        </is>
      </c>
      <c r="C18" s="2" t="inlineStr">
        <is>
          <t>iPhone 13</t>
        </is>
      </c>
      <c r="D18" s="2" t="inlineStr">
        <is>
          <t>128GB</t>
        </is>
      </c>
      <c r="E18" s="3" t="n">
        <v>2021</v>
      </c>
      <c r="F18" s="4" t="n">
        <v>240</v>
      </c>
      <c r="G18" s="2" t="inlineStr">
        <is>
          <t>Like New</t>
        </is>
      </c>
      <c r="H18" s="5" t="n">
        <v>1</v>
      </c>
      <c r="I18" s="6">
        <f>ROUND(F18*H18,0)</f>
        <v/>
      </c>
      <c r="J18" s="3" t="inlineStr">
        <is>
          <t>TRUE</t>
        </is>
      </c>
      <c r="K18" s="2" t="inlineStr">
        <is>
          <t>2026-09-17</t>
        </is>
      </c>
    </row>
    <row r="19">
      <c r="A19" s="2" t="inlineStr">
        <is>
          <t>APL-IP13-128</t>
        </is>
      </c>
      <c r="B19" s="2" t="inlineStr">
        <is>
          <t>Apple</t>
        </is>
      </c>
      <c r="C19" s="2" t="inlineStr">
        <is>
          <t>iPhone 13</t>
        </is>
      </c>
      <c r="D19" s="2" t="inlineStr">
        <is>
          <t>128GB</t>
        </is>
      </c>
      <c r="E19" s="3" t="n">
        <v>2021</v>
      </c>
      <c r="F19" s="4" t="n">
        <v>240</v>
      </c>
      <c r="G19" s="2" t="inlineStr">
        <is>
          <t>Intact</t>
        </is>
      </c>
      <c r="H19" s="5" t="n">
        <v>0.85</v>
      </c>
      <c r="I19" s="6">
        <f>ROUND(F19*H19,0)</f>
        <v/>
      </c>
      <c r="J19" s="3" t="inlineStr">
        <is>
          <t>TRUE</t>
        </is>
      </c>
      <c r="K19" s="2" t="inlineStr">
        <is>
          <t>2026-09-17</t>
        </is>
      </c>
    </row>
    <row r="20">
      <c r="A20" s="2" t="inlineStr">
        <is>
          <t>APL-IP13-128</t>
        </is>
      </c>
      <c r="B20" s="2" t="inlineStr">
        <is>
          <t>Apple</t>
        </is>
      </c>
      <c r="C20" s="2" t="inlineStr">
        <is>
          <t>iPhone 13</t>
        </is>
      </c>
      <c r="D20" s="2" t="inlineStr">
        <is>
          <t>128GB</t>
        </is>
      </c>
      <c r="E20" s="3" t="n">
        <v>2021</v>
      </c>
      <c r="F20" s="4" t="n">
        <v>240</v>
      </c>
      <c r="G20" s="2" t="inlineStr">
        <is>
          <t>Cracked</t>
        </is>
      </c>
      <c r="H20" s="5" t="n">
        <v>0.6</v>
      </c>
      <c r="I20" s="6">
        <f>ROUND(F20*H20,0)</f>
        <v/>
      </c>
      <c r="J20" s="3" t="inlineStr">
        <is>
          <t>TRUE</t>
        </is>
      </c>
      <c r="K20" s="2" t="inlineStr">
        <is>
          <t>2026-09-17</t>
        </is>
      </c>
    </row>
    <row r="21">
      <c r="A21" s="2" t="inlineStr">
        <is>
          <t>APL-IP13-128</t>
        </is>
      </c>
      <c r="B21" s="2" t="inlineStr">
        <is>
          <t>Apple</t>
        </is>
      </c>
      <c r="C21" s="2" t="inlineStr">
        <is>
          <t>iPhone 13</t>
        </is>
      </c>
      <c r="D21" s="2" t="inlineStr">
        <is>
          <t>128GB</t>
        </is>
      </c>
      <c r="E21" s="3" t="n">
        <v>2021</v>
      </c>
      <c r="F21" s="4" t="n">
        <v>240</v>
      </c>
      <c r="G21" s="2" t="inlineStr">
        <is>
          <t>Faulty</t>
        </is>
      </c>
      <c r="H21" s="5" t="n">
        <v>0.2</v>
      </c>
      <c r="I21" s="6">
        <f>ROUND(F21*H21,0)</f>
        <v/>
      </c>
      <c r="J21" s="3" t="inlineStr">
        <is>
          <t>TRUE</t>
        </is>
      </c>
      <c r="K21" s="2" t="inlineStr">
        <is>
          <t>2026-09-17</t>
        </is>
      </c>
    </row>
    <row r="22">
      <c r="A22" s="2" t="inlineStr">
        <is>
          <t>APL-IPSE3-64</t>
        </is>
      </c>
      <c r="B22" s="2" t="inlineStr">
        <is>
          <t>Apple</t>
        </is>
      </c>
      <c r="C22" s="2" t="inlineStr">
        <is>
          <t>iPhone SE (3rd gen)</t>
        </is>
      </c>
      <c r="D22" s="2" t="inlineStr">
        <is>
          <t>64GB</t>
        </is>
      </c>
      <c r="E22" s="3" t="n">
        <v>2022</v>
      </c>
      <c r="F22" s="4" t="n">
        <v>95</v>
      </c>
      <c r="G22" s="2" t="inlineStr">
        <is>
          <t>Like New</t>
        </is>
      </c>
      <c r="H22" s="5" t="n">
        <v>1</v>
      </c>
      <c r="I22" s="6">
        <f>ROUND(F22*H22,0)</f>
        <v/>
      </c>
      <c r="J22" s="3" t="inlineStr">
        <is>
          <t>TRUE</t>
        </is>
      </c>
      <c r="K22" s="2" t="inlineStr">
        <is>
          <t>2026-09-17</t>
        </is>
      </c>
    </row>
    <row r="23">
      <c r="A23" s="2" t="inlineStr">
        <is>
          <t>APL-IPSE3-64</t>
        </is>
      </c>
      <c r="B23" s="2" t="inlineStr">
        <is>
          <t>Apple</t>
        </is>
      </c>
      <c r="C23" s="2" t="inlineStr">
        <is>
          <t>iPhone SE (3rd gen)</t>
        </is>
      </c>
      <c r="D23" s="2" t="inlineStr">
        <is>
          <t>64GB</t>
        </is>
      </c>
      <c r="E23" s="3" t="n">
        <v>2022</v>
      </c>
      <c r="F23" s="4" t="n">
        <v>95</v>
      </c>
      <c r="G23" s="2" t="inlineStr">
        <is>
          <t>Intact</t>
        </is>
      </c>
      <c r="H23" s="5" t="n">
        <v>0.85</v>
      </c>
      <c r="I23" s="6">
        <f>ROUND(F23*H23,0)</f>
        <v/>
      </c>
      <c r="J23" s="3" t="inlineStr">
        <is>
          <t>TRUE</t>
        </is>
      </c>
      <c r="K23" s="2" t="inlineStr">
        <is>
          <t>2026-09-17</t>
        </is>
      </c>
    </row>
    <row r="24">
      <c r="A24" s="2" t="inlineStr">
        <is>
          <t>APL-IPSE3-64</t>
        </is>
      </c>
      <c r="B24" s="2" t="inlineStr">
        <is>
          <t>Apple</t>
        </is>
      </c>
      <c r="C24" s="2" t="inlineStr">
        <is>
          <t>iPhone SE (3rd gen)</t>
        </is>
      </c>
      <c r="D24" s="2" t="inlineStr">
        <is>
          <t>64GB</t>
        </is>
      </c>
      <c r="E24" s="3" t="n">
        <v>2022</v>
      </c>
      <c r="F24" s="4" t="n">
        <v>95</v>
      </c>
      <c r="G24" s="2" t="inlineStr">
        <is>
          <t>Cracked</t>
        </is>
      </c>
      <c r="H24" s="5" t="n">
        <v>0.6</v>
      </c>
      <c r="I24" s="6">
        <f>ROUND(F24*H24,0)</f>
        <v/>
      </c>
      <c r="J24" s="3" t="inlineStr">
        <is>
          <t>TRUE</t>
        </is>
      </c>
      <c r="K24" s="2" t="inlineStr">
        <is>
          <t>2026-09-17</t>
        </is>
      </c>
    </row>
    <row r="25">
      <c r="A25" s="2" t="inlineStr">
        <is>
          <t>APL-IPSE3-64</t>
        </is>
      </c>
      <c r="B25" s="2" t="inlineStr">
        <is>
          <t>Apple</t>
        </is>
      </c>
      <c r="C25" s="2" t="inlineStr">
        <is>
          <t>iPhone SE (3rd gen)</t>
        </is>
      </c>
      <c r="D25" s="2" t="inlineStr">
        <is>
          <t>64GB</t>
        </is>
      </c>
      <c r="E25" s="3" t="n">
        <v>2022</v>
      </c>
      <c r="F25" s="4" t="n">
        <v>95</v>
      </c>
      <c r="G25" s="2" t="inlineStr">
        <is>
          <t>Faulty</t>
        </is>
      </c>
      <c r="H25" s="5" t="n">
        <v>0.2</v>
      </c>
      <c r="I25" s="6">
        <f>ROUND(F25*H25,0)</f>
        <v/>
      </c>
      <c r="J25" s="3" t="inlineStr">
        <is>
          <t>TRUE</t>
        </is>
      </c>
      <c r="K25" s="2" t="inlineStr">
        <is>
          <t>2026-09-17</t>
        </is>
      </c>
    </row>
    <row r="26">
      <c r="A26" s="2" t="inlineStr">
        <is>
          <t>SAM-S24U-256</t>
        </is>
      </c>
      <c r="B26" s="2" t="inlineStr">
        <is>
          <t>Samsung</t>
        </is>
      </c>
      <c r="C26" s="2" t="inlineStr">
        <is>
          <t>Galaxy S24 Ultra</t>
        </is>
      </c>
      <c r="D26" s="2" t="inlineStr">
        <is>
          <t>256GB</t>
        </is>
      </c>
      <c r="E26" s="3" t="n">
        <v>2024</v>
      </c>
      <c r="F26" s="4" t="n">
        <v>480</v>
      </c>
      <c r="G26" s="2" t="inlineStr">
        <is>
          <t>Like New</t>
        </is>
      </c>
      <c r="H26" s="5" t="n">
        <v>1</v>
      </c>
      <c r="I26" s="6">
        <f>ROUND(F26*H26,0)</f>
        <v/>
      </c>
      <c r="J26" s="3" t="inlineStr">
        <is>
          <t>TRUE</t>
        </is>
      </c>
      <c r="K26" s="2" t="inlineStr">
        <is>
          <t>2026-09-17</t>
        </is>
      </c>
    </row>
    <row r="27">
      <c r="A27" s="2" t="inlineStr">
        <is>
          <t>SAM-S24U-256</t>
        </is>
      </c>
      <c r="B27" s="2" t="inlineStr">
        <is>
          <t>Samsung</t>
        </is>
      </c>
      <c r="C27" s="2" t="inlineStr">
        <is>
          <t>Galaxy S24 Ultra</t>
        </is>
      </c>
      <c r="D27" s="2" t="inlineStr">
        <is>
          <t>256GB</t>
        </is>
      </c>
      <c r="E27" s="3" t="n">
        <v>2024</v>
      </c>
      <c r="F27" s="4" t="n">
        <v>480</v>
      </c>
      <c r="G27" s="2" t="inlineStr">
        <is>
          <t>Intact</t>
        </is>
      </c>
      <c r="H27" s="5" t="n">
        <v>0.85</v>
      </c>
      <c r="I27" s="6">
        <f>ROUND(F27*H27,0)</f>
        <v/>
      </c>
      <c r="J27" s="3" t="inlineStr">
        <is>
          <t>TRUE</t>
        </is>
      </c>
      <c r="K27" s="2" t="inlineStr">
        <is>
          <t>2026-09-17</t>
        </is>
      </c>
    </row>
    <row r="28">
      <c r="A28" s="2" t="inlineStr">
        <is>
          <t>SAM-S24U-256</t>
        </is>
      </c>
      <c r="B28" s="2" t="inlineStr">
        <is>
          <t>Samsung</t>
        </is>
      </c>
      <c r="C28" s="2" t="inlineStr">
        <is>
          <t>Galaxy S24 Ultra</t>
        </is>
      </c>
      <c r="D28" s="2" t="inlineStr">
        <is>
          <t>256GB</t>
        </is>
      </c>
      <c r="E28" s="3" t="n">
        <v>2024</v>
      </c>
      <c r="F28" s="4" t="n">
        <v>480</v>
      </c>
      <c r="G28" s="2" t="inlineStr">
        <is>
          <t>Cracked</t>
        </is>
      </c>
      <c r="H28" s="5" t="n">
        <v>0.6</v>
      </c>
      <c r="I28" s="6">
        <f>ROUND(F28*H28,0)</f>
        <v/>
      </c>
      <c r="J28" s="3" t="inlineStr">
        <is>
          <t>TRUE</t>
        </is>
      </c>
      <c r="K28" s="2" t="inlineStr">
        <is>
          <t>2026-09-17</t>
        </is>
      </c>
    </row>
    <row r="29">
      <c r="A29" s="2" t="inlineStr">
        <is>
          <t>SAM-S24U-256</t>
        </is>
      </c>
      <c r="B29" s="2" t="inlineStr">
        <is>
          <t>Samsung</t>
        </is>
      </c>
      <c r="C29" s="2" t="inlineStr">
        <is>
          <t>Galaxy S24 Ultra</t>
        </is>
      </c>
      <c r="D29" s="2" t="inlineStr">
        <is>
          <t>256GB</t>
        </is>
      </c>
      <c r="E29" s="3" t="n">
        <v>2024</v>
      </c>
      <c r="F29" s="4" t="n">
        <v>480</v>
      </c>
      <c r="G29" s="2" t="inlineStr">
        <is>
          <t>Faulty</t>
        </is>
      </c>
      <c r="H29" s="5" t="n">
        <v>0.2</v>
      </c>
      <c r="I29" s="6">
        <f>ROUND(F29*H29,0)</f>
        <v/>
      </c>
      <c r="J29" s="3" t="inlineStr">
        <is>
          <t>TRUE</t>
        </is>
      </c>
      <c r="K29" s="2" t="inlineStr">
        <is>
          <t>2026-09-17</t>
        </is>
      </c>
    </row>
    <row r="30">
      <c r="A30" s="2" t="inlineStr">
        <is>
          <t>SAM-S23-128</t>
        </is>
      </c>
      <c r="B30" s="2" t="inlineStr">
        <is>
          <t>Samsung</t>
        </is>
      </c>
      <c r="C30" s="2" t="inlineStr">
        <is>
          <t>Galaxy S23</t>
        </is>
      </c>
      <c r="D30" s="2" t="inlineStr">
        <is>
          <t>128GB</t>
        </is>
      </c>
      <c r="E30" s="3" t="n">
        <v>2023</v>
      </c>
      <c r="F30" s="4" t="n">
        <v>250</v>
      </c>
      <c r="G30" s="2" t="inlineStr">
        <is>
          <t>Like New</t>
        </is>
      </c>
      <c r="H30" s="5" t="n">
        <v>1</v>
      </c>
      <c r="I30" s="6">
        <f>ROUND(F30*H30,0)</f>
        <v/>
      </c>
      <c r="J30" s="3" t="inlineStr">
        <is>
          <t>TRUE</t>
        </is>
      </c>
      <c r="K30" s="2" t="inlineStr">
        <is>
          <t>2026-09-17</t>
        </is>
      </c>
    </row>
    <row r="31">
      <c r="A31" s="2" t="inlineStr">
        <is>
          <t>SAM-S23-128</t>
        </is>
      </c>
      <c r="B31" s="2" t="inlineStr">
        <is>
          <t>Samsung</t>
        </is>
      </c>
      <c r="C31" s="2" t="inlineStr">
        <is>
          <t>Galaxy S23</t>
        </is>
      </c>
      <c r="D31" s="2" t="inlineStr">
        <is>
          <t>128GB</t>
        </is>
      </c>
      <c r="E31" s="3" t="n">
        <v>2023</v>
      </c>
      <c r="F31" s="4" t="n">
        <v>250</v>
      </c>
      <c r="G31" s="2" t="inlineStr">
        <is>
          <t>Intact</t>
        </is>
      </c>
      <c r="H31" s="5" t="n">
        <v>0.85</v>
      </c>
      <c r="I31" s="6">
        <f>ROUND(F31*H31,0)</f>
        <v/>
      </c>
      <c r="J31" s="3" t="inlineStr">
        <is>
          <t>TRUE</t>
        </is>
      </c>
      <c r="K31" s="2" t="inlineStr">
        <is>
          <t>2026-09-17</t>
        </is>
      </c>
    </row>
    <row r="32">
      <c r="A32" s="2" t="inlineStr">
        <is>
          <t>SAM-S23-128</t>
        </is>
      </c>
      <c r="B32" s="2" t="inlineStr">
        <is>
          <t>Samsung</t>
        </is>
      </c>
      <c r="C32" s="2" t="inlineStr">
        <is>
          <t>Galaxy S23</t>
        </is>
      </c>
      <c r="D32" s="2" t="inlineStr">
        <is>
          <t>128GB</t>
        </is>
      </c>
      <c r="E32" s="3" t="n">
        <v>2023</v>
      </c>
      <c r="F32" s="4" t="n">
        <v>250</v>
      </c>
      <c r="G32" s="2" t="inlineStr">
        <is>
          <t>Cracked</t>
        </is>
      </c>
      <c r="H32" s="5" t="n">
        <v>0.6</v>
      </c>
      <c r="I32" s="6">
        <f>ROUND(F32*H32,0)</f>
        <v/>
      </c>
      <c r="J32" s="3" t="inlineStr">
        <is>
          <t>TRUE</t>
        </is>
      </c>
      <c r="K32" s="2" t="inlineStr">
        <is>
          <t>2026-09-17</t>
        </is>
      </c>
    </row>
    <row r="33">
      <c r="A33" s="2" t="inlineStr">
        <is>
          <t>SAM-S23-128</t>
        </is>
      </c>
      <c r="B33" s="2" t="inlineStr">
        <is>
          <t>Samsung</t>
        </is>
      </c>
      <c r="C33" s="2" t="inlineStr">
        <is>
          <t>Galaxy S23</t>
        </is>
      </c>
      <c r="D33" s="2" t="inlineStr">
        <is>
          <t>128GB</t>
        </is>
      </c>
      <c r="E33" s="3" t="n">
        <v>2023</v>
      </c>
      <c r="F33" s="4" t="n">
        <v>250</v>
      </c>
      <c r="G33" s="2" t="inlineStr">
        <is>
          <t>Faulty</t>
        </is>
      </c>
      <c r="H33" s="5" t="n">
        <v>0.2</v>
      </c>
      <c r="I33" s="6">
        <f>ROUND(F33*H33,0)</f>
        <v/>
      </c>
      <c r="J33" s="3" t="inlineStr">
        <is>
          <t>TRUE</t>
        </is>
      </c>
      <c r="K33" s="2" t="inlineStr">
        <is>
          <t>2026-09-17</t>
        </is>
      </c>
    </row>
    <row r="34">
      <c r="A34" s="2" t="inlineStr">
        <is>
          <t>SAM-S23-256</t>
        </is>
      </c>
      <c r="B34" s="2" t="inlineStr">
        <is>
          <t>Samsung</t>
        </is>
      </c>
      <c r="C34" s="2" t="inlineStr">
        <is>
          <t>Galaxy S23</t>
        </is>
      </c>
      <c r="D34" s="2" t="inlineStr">
        <is>
          <t>256GB</t>
        </is>
      </c>
      <c r="E34" s="3" t="n">
        <v>2023</v>
      </c>
      <c r="F34" s="4" t="n">
        <v>285</v>
      </c>
      <c r="G34" s="2" t="inlineStr">
        <is>
          <t>Like New</t>
        </is>
      </c>
      <c r="H34" s="5" t="n">
        <v>1</v>
      </c>
      <c r="I34" s="6">
        <f>ROUND(F34*H34,0)</f>
        <v/>
      </c>
      <c r="J34" s="3" t="inlineStr">
        <is>
          <t>TRUE</t>
        </is>
      </c>
      <c r="K34" s="2" t="inlineStr">
        <is>
          <t>2026-09-17</t>
        </is>
      </c>
    </row>
    <row r="35">
      <c r="A35" s="2" t="inlineStr">
        <is>
          <t>SAM-S23-256</t>
        </is>
      </c>
      <c r="B35" s="2" t="inlineStr">
        <is>
          <t>Samsung</t>
        </is>
      </c>
      <c r="C35" s="2" t="inlineStr">
        <is>
          <t>Galaxy S23</t>
        </is>
      </c>
      <c r="D35" s="2" t="inlineStr">
        <is>
          <t>256GB</t>
        </is>
      </c>
      <c r="E35" s="3" t="n">
        <v>2023</v>
      </c>
      <c r="F35" s="4" t="n">
        <v>285</v>
      </c>
      <c r="G35" s="2" t="inlineStr">
        <is>
          <t>Intact</t>
        </is>
      </c>
      <c r="H35" s="5" t="n">
        <v>0.85</v>
      </c>
      <c r="I35" s="6">
        <f>ROUND(F35*H35,0)</f>
        <v/>
      </c>
      <c r="J35" s="3" t="inlineStr">
        <is>
          <t>TRUE</t>
        </is>
      </c>
      <c r="K35" s="2" t="inlineStr">
        <is>
          <t>2026-09-17</t>
        </is>
      </c>
    </row>
    <row r="36">
      <c r="A36" s="2" t="inlineStr">
        <is>
          <t>SAM-S23-256</t>
        </is>
      </c>
      <c r="B36" s="2" t="inlineStr">
        <is>
          <t>Samsung</t>
        </is>
      </c>
      <c r="C36" s="2" t="inlineStr">
        <is>
          <t>Galaxy S23</t>
        </is>
      </c>
      <c r="D36" s="2" t="inlineStr">
        <is>
          <t>256GB</t>
        </is>
      </c>
      <c r="E36" s="3" t="n">
        <v>2023</v>
      </c>
      <c r="F36" s="4" t="n">
        <v>285</v>
      </c>
      <c r="G36" s="2" t="inlineStr">
        <is>
          <t>Cracked</t>
        </is>
      </c>
      <c r="H36" s="5" t="n">
        <v>0.6</v>
      </c>
      <c r="I36" s="6">
        <f>ROUND(F36*H36,0)</f>
        <v/>
      </c>
      <c r="J36" s="3" t="inlineStr">
        <is>
          <t>TRUE</t>
        </is>
      </c>
      <c r="K36" s="2" t="inlineStr">
        <is>
          <t>2026-09-17</t>
        </is>
      </c>
    </row>
    <row r="37">
      <c r="A37" s="2" t="inlineStr">
        <is>
          <t>SAM-S23-256</t>
        </is>
      </c>
      <c r="B37" s="2" t="inlineStr">
        <is>
          <t>Samsung</t>
        </is>
      </c>
      <c r="C37" s="2" t="inlineStr">
        <is>
          <t>Galaxy S23</t>
        </is>
      </c>
      <c r="D37" s="2" t="inlineStr">
        <is>
          <t>256GB</t>
        </is>
      </c>
      <c r="E37" s="3" t="n">
        <v>2023</v>
      </c>
      <c r="F37" s="4" t="n">
        <v>285</v>
      </c>
      <c r="G37" s="2" t="inlineStr">
        <is>
          <t>Faulty</t>
        </is>
      </c>
      <c r="H37" s="5" t="n">
        <v>0.2</v>
      </c>
      <c r="I37" s="6">
        <f>ROUND(F37*H37,0)</f>
        <v/>
      </c>
      <c r="J37" s="3" t="inlineStr">
        <is>
          <t>TRUE</t>
        </is>
      </c>
      <c r="K37" s="2" t="inlineStr">
        <is>
          <t>2026-09-17</t>
        </is>
      </c>
    </row>
    <row r="38">
      <c r="A38" s="2" t="inlineStr">
        <is>
          <t>SAM-ZFLIP5-256</t>
        </is>
      </c>
      <c r="B38" s="2" t="inlineStr">
        <is>
          <t>Samsung</t>
        </is>
      </c>
      <c r="C38" s="2" t="inlineStr">
        <is>
          <t>Galaxy Z Flip5</t>
        </is>
      </c>
      <c r="D38" s="2" t="inlineStr">
        <is>
          <t>256GB</t>
        </is>
      </c>
      <c r="E38" s="3" t="n">
        <v>2023</v>
      </c>
      <c r="F38" s="4" t="n">
        <v>260</v>
      </c>
      <c r="G38" s="2" t="inlineStr">
        <is>
          <t>Like New</t>
        </is>
      </c>
      <c r="H38" s="5" t="n">
        <v>1</v>
      </c>
      <c r="I38" s="6">
        <f>ROUND(F38*H38,0)</f>
        <v/>
      </c>
      <c r="J38" s="3" t="inlineStr">
        <is>
          <t>TRUE</t>
        </is>
      </c>
      <c r="K38" s="2" t="inlineStr">
        <is>
          <t>2026-09-17</t>
        </is>
      </c>
    </row>
    <row r="39">
      <c r="A39" s="2" t="inlineStr">
        <is>
          <t>SAM-ZFLIP5-256</t>
        </is>
      </c>
      <c r="B39" s="2" t="inlineStr">
        <is>
          <t>Samsung</t>
        </is>
      </c>
      <c r="C39" s="2" t="inlineStr">
        <is>
          <t>Galaxy Z Flip5</t>
        </is>
      </c>
      <c r="D39" s="2" t="inlineStr">
        <is>
          <t>256GB</t>
        </is>
      </c>
      <c r="E39" s="3" t="n">
        <v>2023</v>
      </c>
      <c r="F39" s="4" t="n">
        <v>260</v>
      </c>
      <c r="G39" s="2" t="inlineStr">
        <is>
          <t>Intact</t>
        </is>
      </c>
      <c r="H39" s="5" t="n">
        <v>0.85</v>
      </c>
      <c r="I39" s="6">
        <f>ROUND(F39*H39,0)</f>
        <v/>
      </c>
      <c r="J39" s="3" t="inlineStr">
        <is>
          <t>TRUE</t>
        </is>
      </c>
      <c r="K39" s="2" t="inlineStr">
        <is>
          <t>2026-09-17</t>
        </is>
      </c>
    </row>
    <row r="40">
      <c r="A40" s="2" t="inlineStr">
        <is>
          <t>SAM-ZFLIP5-256</t>
        </is>
      </c>
      <c r="B40" s="2" t="inlineStr">
        <is>
          <t>Samsung</t>
        </is>
      </c>
      <c r="C40" s="2" t="inlineStr">
        <is>
          <t>Galaxy Z Flip5</t>
        </is>
      </c>
      <c r="D40" s="2" t="inlineStr">
        <is>
          <t>256GB</t>
        </is>
      </c>
      <c r="E40" s="3" t="n">
        <v>2023</v>
      </c>
      <c r="F40" s="4" t="n">
        <v>260</v>
      </c>
      <c r="G40" s="2" t="inlineStr">
        <is>
          <t>Cracked</t>
        </is>
      </c>
      <c r="H40" s="5" t="n">
        <v>0.6</v>
      </c>
      <c r="I40" s="6">
        <f>ROUND(F40*H40,0)</f>
        <v/>
      </c>
      <c r="J40" s="3" t="inlineStr">
        <is>
          <t>TRUE</t>
        </is>
      </c>
      <c r="K40" s="2" t="inlineStr">
        <is>
          <t>2026-09-17</t>
        </is>
      </c>
    </row>
    <row r="41">
      <c r="A41" s="2" t="inlineStr">
        <is>
          <t>SAM-ZFLIP5-256</t>
        </is>
      </c>
      <c r="B41" s="2" t="inlineStr">
        <is>
          <t>Samsung</t>
        </is>
      </c>
      <c r="C41" s="2" t="inlineStr">
        <is>
          <t>Galaxy Z Flip5</t>
        </is>
      </c>
      <c r="D41" s="2" t="inlineStr">
        <is>
          <t>256GB</t>
        </is>
      </c>
      <c r="E41" s="3" t="n">
        <v>2023</v>
      </c>
      <c r="F41" s="4" t="n">
        <v>260</v>
      </c>
      <c r="G41" s="2" t="inlineStr">
        <is>
          <t>Faulty</t>
        </is>
      </c>
      <c r="H41" s="5" t="n">
        <v>0.2</v>
      </c>
      <c r="I41" s="6">
        <f>ROUND(F41*H41,0)</f>
        <v/>
      </c>
      <c r="J41" s="3" t="inlineStr">
        <is>
          <t>TRUE</t>
        </is>
      </c>
      <c r="K41" s="2" t="inlineStr">
        <is>
          <t>2026-09-17</t>
        </is>
      </c>
    </row>
    <row r="42">
      <c r="A42" s="2" t="inlineStr">
        <is>
          <t>SAM-A54-128</t>
        </is>
      </c>
      <c r="B42" s="2" t="inlineStr">
        <is>
          <t>Samsung</t>
        </is>
      </c>
      <c r="C42" s="2" t="inlineStr">
        <is>
          <t>Galaxy A54</t>
        </is>
      </c>
      <c r="D42" s="2" t="inlineStr">
        <is>
          <t>128GB</t>
        </is>
      </c>
      <c r="E42" s="3" t="n">
        <v>2023</v>
      </c>
      <c r="F42" s="4" t="n">
        <v>110</v>
      </c>
      <c r="G42" s="2" t="inlineStr">
        <is>
          <t>Like New</t>
        </is>
      </c>
      <c r="H42" s="5" t="n">
        <v>1</v>
      </c>
      <c r="I42" s="6">
        <f>ROUND(F42*H42,0)</f>
        <v/>
      </c>
      <c r="J42" s="3" t="inlineStr">
        <is>
          <t>TRUE</t>
        </is>
      </c>
      <c r="K42" s="2" t="inlineStr">
        <is>
          <t>2026-09-17</t>
        </is>
      </c>
    </row>
    <row r="43">
      <c r="A43" s="2" t="inlineStr">
        <is>
          <t>SAM-A54-128</t>
        </is>
      </c>
      <c r="B43" s="2" t="inlineStr">
        <is>
          <t>Samsung</t>
        </is>
      </c>
      <c r="C43" s="2" t="inlineStr">
        <is>
          <t>Galaxy A54</t>
        </is>
      </c>
      <c r="D43" s="2" t="inlineStr">
        <is>
          <t>128GB</t>
        </is>
      </c>
      <c r="E43" s="3" t="n">
        <v>2023</v>
      </c>
      <c r="F43" s="4" t="n">
        <v>110</v>
      </c>
      <c r="G43" s="2" t="inlineStr">
        <is>
          <t>Intact</t>
        </is>
      </c>
      <c r="H43" s="5" t="n">
        <v>0.85</v>
      </c>
      <c r="I43" s="6">
        <f>ROUND(F43*H43,0)</f>
        <v/>
      </c>
      <c r="J43" s="3" t="inlineStr">
        <is>
          <t>TRUE</t>
        </is>
      </c>
      <c r="K43" s="2" t="inlineStr">
        <is>
          <t>2026-09-17</t>
        </is>
      </c>
    </row>
    <row r="44">
      <c r="A44" s="2" t="inlineStr">
        <is>
          <t>SAM-A54-128</t>
        </is>
      </c>
      <c r="B44" s="2" t="inlineStr">
        <is>
          <t>Samsung</t>
        </is>
      </c>
      <c r="C44" s="2" t="inlineStr">
        <is>
          <t>Galaxy A54</t>
        </is>
      </c>
      <c r="D44" s="2" t="inlineStr">
        <is>
          <t>128GB</t>
        </is>
      </c>
      <c r="E44" s="3" t="n">
        <v>2023</v>
      </c>
      <c r="F44" s="4" t="n">
        <v>110</v>
      </c>
      <c r="G44" s="2" t="inlineStr">
        <is>
          <t>Cracked</t>
        </is>
      </c>
      <c r="H44" s="5" t="n">
        <v>0.6</v>
      </c>
      <c r="I44" s="6">
        <f>ROUND(F44*H44,0)</f>
        <v/>
      </c>
      <c r="J44" s="3" t="inlineStr">
        <is>
          <t>TRUE</t>
        </is>
      </c>
      <c r="K44" s="2" t="inlineStr">
        <is>
          <t>2026-09-17</t>
        </is>
      </c>
    </row>
    <row r="45">
      <c r="A45" s="2" t="inlineStr">
        <is>
          <t>SAM-A54-128</t>
        </is>
      </c>
      <c r="B45" s="2" t="inlineStr">
        <is>
          <t>Samsung</t>
        </is>
      </c>
      <c r="C45" s="2" t="inlineStr">
        <is>
          <t>Galaxy A54</t>
        </is>
      </c>
      <c r="D45" s="2" t="inlineStr">
        <is>
          <t>128GB</t>
        </is>
      </c>
      <c r="E45" s="3" t="n">
        <v>2023</v>
      </c>
      <c r="F45" s="4" t="n">
        <v>110</v>
      </c>
      <c r="G45" s="2" t="inlineStr">
        <is>
          <t>Faulty</t>
        </is>
      </c>
      <c r="H45" s="5" t="n">
        <v>0.2</v>
      </c>
      <c r="I45" s="6">
        <f>ROUND(F45*H45,0)</f>
        <v/>
      </c>
      <c r="J45" s="3" t="inlineStr">
        <is>
          <t>TRUE</t>
        </is>
      </c>
      <c r="K45" s="2" t="inlineStr">
        <is>
          <t>2026-09-17</t>
        </is>
      </c>
    </row>
    <row r="46">
      <c r="A46" s="2" t="inlineStr">
        <is>
          <t>GOO-P8P-128</t>
        </is>
      </c>
      <c r="B46" s="2" t="inlineStr">
        <is>
          <t>Google</t>
        </is>
      </c>
      <c r="C46" s="2" t="inlineStr">
        <is>
          <t>Pixel 8 Pro</t>
        </is>
      </c>
      <c r="D46" s="2" t="inlineStr">
        <is>
          <t>128GB</t>
        </is>
      </c>
      <c r="E46" s="3" t="n">
        <v>2023</v>
      </c>
      <c r="F46" s="4" t="n">
        <v>300</v>
      </c>
      <c r="G46" s="2" t="inlineStr">
        <is>
          <t>Like New</t>
        </is>
      </c>
      <c r="H46" s="5" t="n">
        <v>1</v>
      </c>
      <c r="I46" s="6">
        <f>ROUND(F46*H46,0)</f>
        <v/>
      </c>
      <c r="J46" s="3" t="inlineStr">
        <is>
          <t>TRUE</t>
        </is>
      </c>
      <c r="K46" s="2" t="inlineStr">
        <is>
          <t>2026-09-17</t>
        </is>
      </c>
    </row>
    <row r="47">
      <c r="A47" s="2" t="inlineStr">
        <is>
          <t>GOO-P8P-128</t>
        </is>
      </c>
      <c r="B47" s="2" t="inlineStr">
        <is>
          <t>Google</t>
        </is>
      </c>
      <c r="C47" s="2" t="inlineStr">
        <is>
          <t>Pixel 8 Pro</t>
        </is>
      </c>
      <c r="D47" s="2" t="inlineStr">
        <is>
          <t>128GB</t>
        </is>
      </c>
      <c r="E47" s="3" t="n">
        <v>2023</v>
      </c>
      <c r="F47" s="4" t="n">
        <v>300</v>
      </c>
      <c r="G47" s="2" t="inlineStr">
        <is>
          <t>Intact</t>
        </is>
      </c>
      <c r="H47" s="5" t="n">
        <v>0.85</v>
      </c>
      <c r="I47" s="6">
        <f>ROUND(F47*H47,0)</f>
        <v/>
      </c>
      <c r="J47" s="3" t="inlineStr">
        <is>
          <t>TRUE</t>
        </is>
      </c>
      <c r="K47" s="2" t="inlineStr">
        <is>
          <t>2026-09-17</t>
        </is>
      </c>
    </row>
    <row r="48">
      <c r="A48" s="2" t="inlineStr">
        <is>
          <t>GOO-P8P-128</t>
        </is>
      </c>
      <c r="B48" s="2" t="inlineStr">
        <is>
          <t>Google</t>
        </is>
      </c>
      <c r="C48" s="2" t="inlineStr">
        <is>
          <t>Pixel 8 Pro</t>
        </is>
      </c>
      <c r="D48" s="2" t="inlineStr">
        <is>
          <t>128GB</t>
        </is>
      </c>
      <c r="E48" s="3" t="n">
        <v>2023</v>
      </c>
      <c r="F48" s="4" t="n">
        <v>300</v>
      </c>
      <c r="G48" s="2" t="inlineStr">
        <is>
          <t>Cracked</t>
        </is>
      </c>
      <c r="H48" s="5" t="n">
        <v>0.6</v>
      </c>
      <c r="I48" s="6">
        <f>ROUND(F48*H48,0)</f>
        <v/>
      </c>
      <c r="J48" s="3" t="inlineStr">
        <is>
          <t>TRUE</t>
        </is>
      </c>
      <c r="K48" s="2" t="inlineStr">
        <is>
          <t>2026-09-17</t>
        </is>
      </c>
    </row>
    <row r="49">
      <c r="A49" s="2" t="inlineStr">
        <is>
          <t>GOO-P8P-128</t>
        </is>
      </c>
      <c r="B49" s="2" t="inlineStr">
        <is>
          <t>Google</t>
        </is>
      </c>
      <c r="C49" s="2" t="inlineStr">
        <is>
          <t>Pixel 8 Pro</t>
        </is>
      </c>
      <c r="D49" s="2" t="inlineStr">
        <is>
          <t>128GB</t>
        </is>
      </c>
      <c r="E49" s="3" t="n">
        <v>2023</v>
      </c>
      <c r="F49" s="4" t="n">
        <v>300</v>
      </c>
      <c r="G49" s="2" t="inlineStr">
        <is>
          <t>Faulty</t>
        </is>
      </c>
      <c r="H49" s="5" t="n">
        <v>0.2</v>
      </c>
      <c r="I49" s="6">
        <f>ROUND(F49*H49,0)</f>
        <v/>
      </c>
      <c r="J49" s="3" t="inlineStr">
        <is>
          <t>TRUE</t>
        </is>
      </c>
      <c r="K49" s="2" t="inlineStr">
        <is>
          <t>2026-09-17</t>
        </is>
      </c>
    </row>
    <row r="50">
      <c r="A50" s="2" t="inlineStr">
        <is>
          <t>GOO-P7A-128</t>
        </is>
      </c>
      <c r="B50" s="2" t="inlineStr">
        <is>
          <t>Google</t>
        </is>
      </c>
      <c r="C50" s="2" t="inlineStr">
        <is>
          <t>Pixel 7a</t>
        </is>
      </c>
      <c r="D50" s="2" t="inlineStr">
        <is>
          <t>128GB</t>
        </is>
      </c>
      <c r="E50" s="3" t="n">
        <v>2023</v>
      </c>
      <c r="F50" s="4" t="n">
        <v>130</v>
      </c>
      <c r="G50" s="2" t="inlineStr">
        <is>
          <t>Like New</t>
        </is>
      </c>
      <c r="H50" s="5" t="n">
        <v>1</v>
      </c>
      <c r="I50" s="6">
        <f>ROUND(F50*H50,0)</f>
        <v/>
      </c>
      <c r="J50" s="3" t="inlineStr">
        <is>
          <t>TRUE</t>
        </is>
      </c>
      <c r="K50" s="2" t="inlineStr">
        <is>
          <t>2026-09-17</t>
        </is>
      </c>
    </row>
    <row r="51">
      <c r="A51" s="2" t="inlineStr">
        <is>
          <t>GOO-P7A-128</t>
        </is>
      </c>
      <c r="B51" s="2" t="inlineStr">
        <is>
          <t>Google</t>
        </is>
      </c>
      <c r="C51" s="2" t="inlineStr">
        <is>
          <t>Pixel 7a</t>
        </is>
      </c>
      <c r="D51" s="2" t="inlineStr">
        <is>
          <t>128GB</t>
        </is>
      </c>
      <c r="E51" s="3" t="n">
        <v>2023</v>
      </c>
      <c r="F51" s="4" t="n">
        <v>130</v>
      </c>
      <c r="G51" s="2" t="inlineStr">
        <is>
          <t>Intact</t>
        </is>
      </c>
      <c r="H51" s="5" t="n">
        <v>0.85</v>
      </c>
      <c r="I51" s="6">
        <f>ROUND(F51*H51,0)</f>
        <v/>
      </c>
      <c r="J51" s="3" t="inlineStr">
        <is>
          <t>TRUE</t>
        </is>
      </c>
      <c r="K51" s="2" t="inlineStr">
        <is>
          <t>2026-09-17</t>
        </is>
      </c>
    </row>
    <row r="52">
      <c r="A52" s="2" t="inlineStr">
        <is>
          <t>GOO-P7A-128</t>
        </is>
      </c>
      <c r="B52" s="2" t="inlineStr">
        <is>
          <t>Google</t>
        </is>
      </c>
      <c r="C52" s="2" t="inlineStr">
        <is>
          <t>Pixel 7a</t>
        </is>
      </c>
      <c r="D52" s="2" t="inlineStr">
        <is>
          <t>128GB</t>
        </is>
      </c>
      <c r="E52" s="3" t="n">
        <v>2023</v>
      </c>
      <c r="F52" s="4" t="n">
        <v>130</v>
      </c>
      <c r="G52" s="2" t="inlineStr">
        <is>
          <t>Cracked</t>
        </is>
      </c>
      <c r="H52" s="5" t="n">
        <v>0.6</v>
      </c>
      <c r="I52" s="6">
        <f>ROUND(F52*H52,0)</f>
        <v/>
      </c>
      <c r="J52" s="3" t="inlineStr">
        <is>
          <t>TRUE</t>
        </is>
      </c>
      <c r="K52" s="2" t="inlineStr">
        <is>
          <t>2026-09-17</t>
        </is>
      </c>
    </row>
    <row r="53">
      <c r="A53" s="2" t="inlineStr">
        <is>
          <t>GOO-P7A-128</t>
        </is>
      </c>
      <c r="B53" s="2" t="inlineStr">
        <is>
          <t>Google</t>
        </is>
      </c>
      <c r="C53" s="2" t="inlineStr">
        <is>
          <t>Pixel 7a</t>
        </is>
      </c>
      <c r="D53" s="2" t="inlineStr">
        <is>
          <t>128GB</t>
        </is>
      </c>
      <c r="E53" s="3" t="n">
        <v>2023</v>
      </c>
      <c r="F53" s="4" t="n">
        <v>130</v>
      </c>
      <c r="G53" s="2" t="inlineStr">
        <is>
          <t>Faulty</t>
        </is>
      </c>
      <c r="H53" s="5" t="n">
        <v>0.2</v>
      </c>
      <c r="I53" s="6">
        <f>ROUND(F53*H53,0)</f>
        <v/>
      </c>
      <c r="J53" s="3" t="inlineStr">
        <is>
          <t>TRUE</t>
        </is>
      </c>
      <c r="K53" s="2" t="inlineStr">
        <is>
          <t>2026-09-17</t>
        </is>
      </c>
    </row>
    <row r="54">
      <c r="A54" s="2" t="inlineStr">
        <is>
          <t>ONE-OP12-256</t>
        </is>
      </c>
      <c r="B54" s="2" t="inlineStr">
        <is>
          <t>OnePlus</t>
        </is>
      </c>
      <c r="C54" s="2" t="inlineStr">
        <is>
          <t>OnePlus 12</t>
        </is>
      </c>
      <c r="D54" s="2" t="inlineStr">
        <is>
          <t>256GB</t>
        </is>
      </c>
      <c r="E54" s="3" t="n">
        <v>2024</v>
      </c>
      <c r="F54" s="4" t="n">
        <v>320</v>
      </c>
      <c r="G54" s="2" t="inlineStr">
        <is>
          <t>Like New</t>
        </is>
      </c>
      <c r="H54" s="5" t="n">
        <v>1</v>
      </c>
      <c r="I54" s="6">
        <f>ROUND(F54*H54,0)</f>
        <v/>
      </c>
      <c r="J54" s="3" t="inlineStr">
        <is>
          <t>TRUE</t>
        </is>
      </c>
      <c r="K54" s="2" t="inlineStr">
        <is>
          <t>2026-09-17</t>
        </is>
      </c>
    </row>
    <row r="55">
      <c r="A55" s="2" t="inlineStr">
        <is>
          <t>ONE-OP12-256</t>
        </is>
      </c>
      <c r="B55" s="2" t="inlineStr">
        <is>
          <t>OnePlus</t>
        </is>
      </c>
      <c r="C55" s="2" t="inlineStr">
        <is>
          <t>OnePlus 12</t>
        </is>
      </c>
      <c r="D55" s="2" t="inlineStr">
        <is>
          <t>256GB</t>
        </is>
      </c>
      <c r="E55" s="3" t="n">
        <v>2024</v>
      </c>
      <c r="F55" s="4" t="n">
        <v>320</v>
      </c>
      <c r="G55" s="2" t="inlineStr">
        <is>
          <t>Intact</t>
        </is>
      </c>
      <c r="H55" s="5" t="n">
        <v>0.85</v>
      </c>
      <c r="I55" s="6">
        <f>ROUND(F55*H55,0)</f>
        <v/>
      </c>
      <c r="J55" s="3" t="inlineStr">
        <is>
          <t>TRUE</t>
        </is>
      </c>
      <c r="K55" s="2" t="inlineStr">
        <is>
          <t>2026-09-17</t>
        </is>
      </c>
    </row>
    <row r="56">
      <c r="A56" s="2" t="inlineStr">
        <is>
          <t>ONE-OP12-256</t>
        </is>
      </c>
      <c r="B56" s="2" t="inlineStr">
        <is>
          <t>OnePlus</t>
        </is>
      </c>
      <c r="C56" s="2" t="inlineStr">
        <is>
          <t>OnePlus 12</t>
        </is>
      </c>
      <c r="D56" s="2" t="inlineStr">
        <is>
          <t>256GB</t>
        </is>
      </c>
      <c r="E56" s="3" t="n">
        <v>2024</v>
      </c>
      <c r="F56" s="4" t="n">
        <v>320</v>
      </c>
      <c r="G56" s="2" t="inlineStr">
        <is>
          <t>Cracked</t>
        </is>
      </c>
      <c r="H56" s="5" t="n">
        <v>0.6</v>
      </c>
      <c r="I56" s="6">
        <f>ROUND(F56*H56,0)</f>
        <v/>
      </c>
      <c r="J56" s="3" t="inlineStr">
        <is>
          <t>TRUE</t>
        </is>
      </c>
      <c r="K56" s="2" t="inlineStr">
        <is>
          <t>2026-09-17</t>
        </is>
      </c>
    </row>
    <row r="57">
      <c r="A57" s="2" t="inlineStr">
        <is>
          <t>ONE-OP12-256</t>
        </is>
      </c>
      <c r="B57" s="2" t="inlineStr">
        <is>
          <t>OnePlus</t>
        </is>
      </c>
      <c r="C57" s="2" t="inlineStr">
        <is>
          <t>OnePlus 12</t>
        </is>
      </c>
      <c r="D57" s="2" t="inlineStr">
        <is>
          <t>256GB</t>
        </is>
      </c>
      <c r="E57" s="3" t="n">
        <v>2024</v>
      </c>
      <c r="F57" s="4" t="n">
        <v>320</v>
      </c>
      <c r="G57" s="2" t="inlineStr">
        <is>
          <t>Faulty</t>
        </is>
      </c>
      <c r="H57" s="5" t="n">
        <v>0.2</v>
      </c>
      <c r="I57" s="6">
        <f>ROUND(F57*H57,0)</f>
        <v/>
      </c>
      <c r="J57" s="3" t="inlineStr">
        <is>
          <t>TRUE</t>
        </is>
      </c>
      <c r="K57" s="2" t="inlineStr">
        <is>
          <t>2026-09-17</t>
        </is>
      </c>
    </row>
    <row r="58">
      <c r="A58" s="2" t="inlineStr">
        <is>
          <t>ONE-NORD3-128</t>
        </is>
      </c>
      <c r="B58" s="2" t="inlineStr">
        <is>
          <t>OnePlus</t>
        </is>
      </c>
      <c r="C58" s="2" t="inlineStr">
        <is>
          <t>Nord 3</t>
        </is>
      </c>
      <c r="D58" s="2" t="inlineStr">
        <is>
          <t>128GB</t>
        </is>
      </c>
      <c r="E58" s="3" t="n">
        <v>2023</v>
      </c>
      <c r="F58" s="4" t="n">
        <v>140</v>
      </c>
      <c r="G58" s="2" t="inlineStr">
        <is>
          <t>Like New</t>
        </is>
      </c>
      <c r="H58" s="5" t="n">
        <v>1</v>
      </c>
      <c r="I58" s="6">
        <f>ROUND(F58*H58,0)</f>
        <v/>
      </c>
      <c r="J58" s="3" t="inlineStr">
        <is>
          <t>TRUE</t>
        </is>
      </c>
      <c r="K58" s="2" t="inlineStr">
        <is>
          <t>2026-09-17</t>
        </is>
      </c>
    </row>
    <row r="59">
      <c r="A59" s="2" t="inlineStr">
        <is>
          <t>ONE-NORD3-128</t>
        </is>
      </c>
      <c r="B59" s="2" t="inlineStr">
        <is>
          <t>OnePlus</t>
        </is>
      </c>
      <c r="C59" s="2" t="inlineStr">
        <is>
          <t>Nord 3</t>
        </is>
      </c>
      <c r="D59" s="2" t="inlineStr">
        <is>
          <t>128GB</t>
        </is>
      </c>
      <c r="E59" s="3" t="n">
        <v>2023</v>
      </c>
      <c r="F59" s="4" t="n">
        <v>140</v>
      </c>
      <c r="G59" s="2" t="inlineStr">
        <is>
          <t>Intact</t>
        </is>
      </c>
      <c r="H59" s="5" t="n">
        <v>0.85</v>
      </c>
      <c r="I59" s="6">
        <f>ROUND(F59*H59,0)</f>
        <v/>
      </c>
      <c r="J59" s="3" t="inlineStr">
        <is>
          <t>TRUE</t>
        </is>
      </c>
      <c r="K59" s="2" t="inlineStr">
        <is>
          <t>2026-09-17</t>
        </is>
      </c>
    </row>
    <row r="60">
      <c r="A60" s="2" t="inlineStr">
        <is>
          <t>ONE-NORD3-128</t>
        </is>
      </c>
      <c r="B60" s="2" t="inlineStr">
        <is>
          <t>OnePlus</t>
        </is>
      </c>
      <c r="C60" s="2" t="inlineStr">
        <is>
          <t>Nord 3</t>
        </is>
      </c>
      <c r="D60" s="2" t="inlineStr">
        <is>
          <t>128GB</t>
        </is>
      </c>
      <c r="E60" s="3" t="n">
        <v>2023</v>
      </c>
      <c r="F60" s="4" t="n">
        <v>140</v>
      </c>
      <c r="G60" s="2" t="inlineStr">
        <is>
          <t>Cracked</t>
        </is>
      </c>
      <c r="H60" s="5" t="n">
        <v>0.6</v>
      </c>
      <c r="I60" s="6">
        <f>ROUND(F60*H60,0)</f>
        <v/>
      </c>
      <c r="J60" s="3" t="inlineStr">
        <is>
          <t>TRUE</t>
        </is>
      </c>
      <c r="K60" s="2" t="inlineStr">
        <is>
          <t>2026-09-17</t>
        </is>
      </c>
    </row>
    <row r="61">
      <c r="A61" s="2" t="inlineStr">
        <is>
          <t>ONE-NORD3-128</t>
        </is>
      </c>
      <c r="B61" s="2" t="inlineStr">
        <is>
          <t>OnePlus</t>
        </is>
      </c>
      <c r="C61" s="2" t="inlineStr">
        <is>
          <t>Nord 3</t>
        </is>
      </c>
      <c r="D61" s="2" t="inlineStr">
        <is>
          <t>128GB</t>
        </is>
      </c>
      <c r="E61" s="3" t="n">
        <v>2023</v>
      </c>
      <c r="F61" s="4" t="n">
        <v>140</v>
      </c>
      <c r="G61" s="2" t="inlineStr">
        <is>
          <t>Faulty</t>
        </is>
      </c>
      <c r="H61" s="5" t="n">
        <v>0.2</v>
      </c>
      <c r="I61" s="6">
        <f>ROUND(F61*H61,0)</f>
        <v/>
      </c>
      <c r="J61" s="3" t="inlineStr">
        <is>
          <t>TRUE</t>
        </is>
      </c>
      <c r="K61" s="2" t="inlineStr">
        <is>
          <t>2026-09-17</t>
        </is>
      </c>
    </row>
  </sheetData>
  <autoFilter ref="A1:K61"/>
  <dataValidations count="2">
    <dataValidation sqref="G2:G561" showDropDown="0" showInputMessage="0" showErrorMessage="0" allowBlank="0" errorTitle="Unknown condition" error="Pick one of the four conditions on the Conditions tab." type="list">
      <formula1>Conditions!$A$2:$A$5</formula1>
    </dataValidation>
    <dataValidation sqref="J2:J561" showDropDown="0" showInputMessage="0" showErrorMessage="0" allowBlank="0" errorTitle="Invalid value" error="active must be TRUE or FALSE.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66" customWidth="1" min="3" max="3"/>
  </cols>
  <sheetData>
    <row r="1" ht="24" customHeight="1">
      <c r="A1" s="1" t="inlineStr">
        <is>
          <t>condition</t>
        </is>
      </c>
      <c r="B1" s="1" t="inlineStr">
        <is>
          <t>price_multiplier</t>
        </is>
      </c>
      <c r="C1" s="1" t="inlineStr">
        <is>
          <t>description</t>
        </is>
      </c>
    </row>
    <row r="2">
      <c r="A2" s="2" t="inlineStr">
        <is>
          <t>Like New</t>
        </is>
      </c>
      <c r="B2" s="7" t="n">
        <v>1</v>
      </c>
      <c r="C2" s="8" t="inlineStr">
        <is>
          <t>No visible wear, screen and body flawless, fully functional.</t>
        </is>
      </c>
    </row>
    <row r="3">
      <c r="A3" s="2" t="inlineStr">
        <is>
          <t>Intact</t>
        </is>
      </c>
      <c r="B3" s="7" t="n">
        <v>0.85</v>
      </c>
      <c r="C3" s="8" t="inlineStr">
        <is>
          <t>Light scratches or scuffs, no cracks, fully functional.</t>
        </is>
      </c>
    </row>
    <row r="4">
      <c r="A4" s="2" t="inlineStr">
        <is>
          <t>Cracked</t>
        </is>
      </c>
      <c r="B4" s="7" t="n">
        <v>0.6</v>
      </c>
      <c r="C4" s="8" t="inlineStr">
        <is>
          <t>Cracked screen or back glass, device still powers on and works.</t>
        </is>
      </c>
    </row>
    <row r="5">
      <c r="A5" s="2" t="inlineStr">
        <is>
          <t>Faulty</t>
        </is>
      </c>
      <c r="B5" s="7" t="n">
        <v>0.2</v>
      </c>
      <c r="C5" s="8" t="inlineStr">
        <is>
          <t>Does not power on, or a major fault (battery, board, water damage).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Device Trade-In Pricing</t>
        </is>
      </c>
    </row>
    <row r="2">
      <c r="A2" s="10" t="inlineStr"/>
    </row>
    <row r="3">
      <c r="A3" s="11" t="inlineStr">
        <is>
          <t>How the price is calculated</t>
        </is>
      </c>
    </row>
    <row r="4">
      <c r="A4" s="10" t="inlineStr">
        <is>
          <t>final_price_eur  =  ROUND(base_price_eur × price_multiplier, 0)</t>
        </is>
      </c>
    </row>
    <row r="5" ht="30" customHeight="1">
      <c r="A5" s="10" t="inlineStr">
        <is>
          <t>The Devices tab holds one row per device and condition, so every lookup of manufacturer + model + storage + condition lands on exactly one row.</t>
        </is>
      </c>
    </row>
    <row r="6">
      <c r="A6" s="10" t="inlineStr"/>
    </row>
    <row r="7">
      <c r="A7" s="11" t="inlineStr">
        <is>
          <t>Worked example — iPhone 15 Pro 128GB, base price €520</t>
        </is>
      </c>
    </row>
    <row r="8">
      <c r="A8" s="10" t="inlineStr">
        <is>
          <t>Like New  × 1.00  =  €520</t>
        </is>
      </c>
    </row>
    <row r="9">
      <c r="A9" s="10" t="inlineStr">
        <is>
          <t>Intact    × 0.85  =  €442</t>
        </is>
      </c>
    </row>
    <row r="10">
      <c r="A10" s="10" t="inlineStr">
        <is>
          <t>Cracked   × 0.60  =  €312</t>
        </is>
      </c>
    </row>
    <row r="11">
      <c r="A11" s="10" t="inlineStr">
        <is>
          <t>Faulty    × 0.20  =  €104</t>
        </is>
      </c>
    </row>
    <row r="12">
      <c r="A12" s="10" t="inlineStr"/>
    </row>
    <row r="13">
      <c r="A13" s="11" t="inlineStr">
        <is>
          <t>Which cells to edit</t>
        </is>
      </c>
    </row>
    <row r="14">
      <c r="A14" s="12" t="inlineStr">
        <is>
          <t>Blue text  — type here. base_price_eur (column F) is the only price you set by hand.</t>
        </is>
      </c>
    </row>
    <row r="15" ht="30" customHeight="1">
      <c r="A15" s="13" t="inlineStr">
        <is>
          <t>Black text — calculated. final_price_eur (column I) is a formula; typing a number over it breaks the link to the base price.</t>
        </is>
      </c>
    </row>
    <row r="16" ht="30" customHeight="1">
      <c r="A16" s="10" t="inlineStr">
        <is>
          <t>Set active (column J) to FALSE to hide a device from the chatbot without deleting its pricing history.</t>
        </is>
      </c>
    </row>
    <row r="17">
      <c r="A17" s="10" t="inlineStr"/>
    </row>
    <row r="18">
      <c r="A18" s="11" t="inlineStr">
        <is>
          <t>Adding a device</t>
        </is>
      </c>
    </row>
    <row r="19" ht="30" customHeight="1">
      <c r="A19" s="10" t="inlineStr">
        <is>
          <t>Add four rows, one per condition. Fastest way: select the four rows of a similar device, copy, paste at the bottom, then edit columns A to F. The formula in column I comes along and renumbers itself.</t>
        </is>
      </c>
    </row>
    <row r="20">
      <c r="A20" s="10" t="inlineStr"/>
    </row>
    <row r="21">
      <c r="A21" s="11" t="inlineStr">
        <is>
          <t>Where these prices come from</t>
        </is>
      </c>
    </row>
    <row r="22" ht="30" customHeight="1">
      <c r="A22" s="10" t="inlineStr">
        <is>
          <t>The base prices in this workbook are realistic illustrative estimates for structure and testing. They are not sourced from KSP and should be replaced with real trade-in values before the chatbot quotes them to customers.</t>
        </is>
      </c>
    </row>
    <row r="23" ht="30" customHeight="1">
      <c r="A23" s="10" t="inlineStr">
        <is>
          <t>The multipliers (1.00 / 0.85 / 0.60 / 0.20) were specified for this project; they are stored per row rather than looked up live, so a past quote stays reproducible if the multipliers are retuned later.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2026-09-17T16:16:28Z</dcterms:created>
  <dcterms:modified xmlns:dcterms="http://purl.org/dc/terms/" xmlns:xsi="http://www.w3.org/2001/XMLSchema-instance" xsi:type="dcterms:W3CDTF">2026-09-17T16:16:28Z</dcterms:modified>
</cp:coreProperties>
</file>